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12" documentId="8_{90096E78-9FD8-4975-91A7-BB4809B8E2AF}" xr6:coauthVersionLast="47" xr6:coauthVersionMax="47" xr10:uidLastSave="{8E1DFE98-12EA-427C-97AB-B788717BF9FF}"/>
  <bookViews>
    <workbookView xWindow="-108" yWindow="-108" windowWidth="23256" windowHeight="12456" xr2:uid="{83473E53-1DD0-4FE7-BCBB-0592B09C285C}"/>
  </bookViews>
  <sheets>
    <sheet name="US Core - SDTM Mapping Reqs" sheetId="3" r:id="rId1"/>
    <sheet name="Common Rules" sheetId="11" r:id="rId2"/>
    <sheet name="Specimen Profil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6" l="1"/>
  <c r="K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<sst xmlns="http://schemas.openxmlformats.org/spreadsheetml/2006/main" count="148" uniqueCount="127">
  <si>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</si>
  <si>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</si>
  <si>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</si>
  <si>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</si>
  <si>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</si>
  <si>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</si>
  <si>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</si>
  <si>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</si>
  <si>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</si>
  <si>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</si>
  <si>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</si>
  <si>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</si>
  <si>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</si>
  <si>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</si>
  <si>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</si>
  <si>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</si>
  <si>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</si>
  <si>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</si>
  <si>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</si>
  <si>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</si>
  <si>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</si>
  <si>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</si>
  <si>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</si>
  <si>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</si>
  <si>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</si>
  <si>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</si>
  <si>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</si>
  <si>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</si>
  <si>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</si>
  <si>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</si>
  <si>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</si>
  <si>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</si>
  <si>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</si>
  <si>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</si>
  <si>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</si>
  <si>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</si>
  <si>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</si>
  <si>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</si>
  <si>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</si>
  <si>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</si>
  <si>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</si>
  <si>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</si>
  <si>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</si>
  <si>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</si>
  <si>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</si>
  <si>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</si>
  <si>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</si>
  <si>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</si>
  <si>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</si>
  <si>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</si>
  <si>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</si>
  <si>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</si>
  <si>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</si>
  <si>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</si>
  <si>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</si>
  <si>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</si>
  <si>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</si>
  <si>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</si>
  <si>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</si>
  <si>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</si>
  <si>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</si>
  <si>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</si>
  <si>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</si>
  <si>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</si>
  <si>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</si>
  <si>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</si>
  <si>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</si>
  <si>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</si>
  <si>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</si>
  <si>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</si>
  <si>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</si>
  <si>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</si>
  <si>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</si>
  <si>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</si>
  <si>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LB</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</si>
  <si>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</si>
  <si>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</si>
  <si>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</si>
  <si>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</si>
  <si>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</si>
  <si>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</si>
  <si>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Who and/or what the observation is about</t>
  </si>
  <si>
    <t>For the LB dataset, follow the Common Rule #5 to populate USUBJID (LB.USUBJID)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</si>
  <si>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LBSPEC</t>
  </si>
  <si>
    <t>US Core - Specimen</t>
  </si>
  <si>
    <t>Specimen.identifier</t>
  </si>
  <si>
    <t>Specimen.subject.reference(http://hl7.org/fhir/us/core/StructureDefinition-us-core-patient.html).identifier[].value</t>
  </si>
  <si>
    <t>Abstinence or reduction from some or all food, drink, or both, for a period of time prior to sample collection.
Representing fasting status using this element is preferred to representing it with an observation using a 'pre-coordinated code' such as LOINC 2005-7 (Calcium [Moles/​time] in 2 hour Urine --12 hours fasting), or using a component observation such asObservation.component code` = LOINC 49541-6 (Fasting status - Reported).
Unless not suitable, these codes SHALL be taken from hl7VS-relevantClincialInformation
(extensible to http://terminology.hl7.org/ValueSet/v2-0916)</t>
  </si>
  <si>
    <t>Id for specimen.
This is a business identifier, not a resource identifier
0..*</t>
  </si>
  <si>
    <t>The identifier assigned by the lab when accessioning specimen(s). This is not necessarily the same as the specimen identifier, depending on local lab procedures.
0..1</t>
  </si>
  <si>
    <t>LBREFID</t>
  </si>
  <si>
    <t xml:space="preserve">Not using this one since it is 0..*
Not mapped. Information only
</t>
  </si>
  <si>
    <t>The availability of the specimen.
available | unavailable | unsatisfactory | entered-in-error	
This element is labeled as a modifier because the status contains codes that mark the resource as not currently valid.
The codes SHALL be taken from SpecimenStatus
(required to http://hl7.org/fhir/ValueSet/specimen-status|4.0.1 )</t>
  </si>
  <si>
    <t>LBSPCUFL</t>
  </si>
  <si>
    <t>Specimen quality issue</t>
  </si>
  <si>
    <t>Broken container/contimanation/too old</t>
  </si>
  <si>
    <t>Specimen.status.code @ value</t>
  </si>
  <si>
    <t>Specimen.type.coding[].code @ value ELSE Specimen.type.text @ value</t>
  </si>
  <si>
    <t xml:space="preserve">IF Specimen.status = "unsatisfactory";
THEN populate LBSPCUFL with "N";
AND set LBSTAT to "NOT DONE" ;
AND set LBREASND to "The specimen cannot be used because of a quality issue such as a broken container, contamination, or too old."
IF Specimen.status = "unavailable";
THEN populate LBSCUFL with "N";
AND set LBSTAT to "NOT DONE";
AND set LBREASND to "There is no physical specimen because it is either lost, destroyed or consumed."
IF Specimen.status = (available ); 
THEN Map the Specimen.[x] to the instance of the LBTEST record; LBSTAT=null; 
THEN populate LBSPCUFL with "Y"
IF Specimen.status = (entered-in-error); 
THEN do not map  the Specimen.[x] to the instance of the LBTEST record
HL7 Values for Specimen.status = (available | unavailable | unsatisfactory | entered-in-error	)
CDISC terminology for LBSTAT = (https://evs.nci.nih.gov/ftp1/CDISC/SDTM/SDTM%20Terminology.html#CL.C66789.ND)
For LBREASND, use Observation.dataAbsentReason first
WHEN Observation.dataAbsentReason is populated
AND Observation.value[x] for the instance of the Observation.code is NULL
THEN set LBSTAT for the record to "NOT DONE"
LBREASND=Observation.dataAbsentReason
IF Observation.dataAbsentReason is NOT populated
AND Observation.value[x] for the instance of the Observation.code is NULL
Use Specimen.status for LBREASND
</t>
  </si>
  <si>
    <t>LBFAST</t>
  </si>
  <si>
    <t>Kind of material that forms the specimen
Binding: Specimen type . (extensible)
https://vsac.nlm.nih.gov/valueset/2.16.840.1.113762.1.4.1099.54/expansion</t>
  </si>
  <si>
    <t>Maps directly to SDTMIG Variable LBSPEC
Match terminology
https://evs.nci.nih.gov/ftp1/CDISC/SDTM/SDTM%20Terminology.html#CL.C78734.SPECTYPE
https://vsac.nlm.nih.gov/valueset/2.16.840.1.113762.1.4.1099.54/expansion</t>
  </si>
  <si>
    <t>Specimen.collection.bodySite.coding[].code @ value ELSE Specimen.collection.bodySite.text @ value</t>
  </si>
  <si>
    <t xml:space="preserve">Specimen condition
Binding: hl7VS-specimenCondition (extensible)
https://terminology.hl7.org/5.3.0/ValueSet-v2-0493.html
</t>
  </si>
  <si>
    <t>Specimen Source Site
Binding: SNOMEDCTBodyStructures (extensible)
http://hl7.org/fhir/R4/valueset-body-site.html</t>
  </si>
  <si>
    <t>Specimen.condition[].coding[].code @ value ELSE Specimen.condition[].text @ value</t>
  </si>
  <si>
    <t>LBSPCCND</t>
  </si>
  <si>
    <t>Maps directly to SDTMIG Variable LBSPCCND
Match terminology
https://evs.nci.nih.gov/ftp1/CDISC/SDTM/SDTM%20Terminology.html#CL.C78733.SPECCOND
https://terminology.hl7.org/5.3.0/ValueSet-v2-0493.html</t>
  </si>
  <si>
    <t>LBLOC</t>
  </si>
  <si>
    <t>Maps directly to SDTMIG Variable LBLOC
Match terminology
https://evs.nci.nih.gov/ftp1/CDISC/SDTM/SDTM%20Terminology.html#CL.C74456.LOC
http://hl7.org/fhir/R4/valueset-body-site.html</t>
  </si>
  <si>
    <t>Specimen.collection.fastingStatusCodeableConcept.coding[].code @ value ELSE Specimen.collection.fastingStatusCodeableConcept.text @ value</t>
  </si>
  <si>
    <t>For all mapping from FHIR to SDTM, use the non-standard variable (NSV) using the Supplemental Qualifier (SUPPQUAL) dataset and the SUPPQUAL: "FHIR Resource Name"/"FHIRRS" to represent what FHIR Resource was used to exchange and/or store the data.</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</si>
  <si>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</si>
  <si>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Specimen.accessionIdentifier.value @ value</t>
  </si>
  <si>
    <t xml:space="preserve">Maps directly to SDTMIG Variable LBFAST
https://evs.nci.nih.gov/ftp1/CDISC/SDTM/SDTM%20Terminology.html#CL.C66742.NY
IF Specimen.collection.fastingStatus.code="F" then LBFAST="Y"
IF Specimen.collection.fastingStatus.code="NF" then LBFAST="N"
IF Specimen.collection.fastingStatuscode= "NG" OR "FNA" then LBFAST = "U"
IF Specimen.collection.fastingStatusDuration is present, then LBFAST=”Y” 
</t>
  </si>
  <si>
    <r>
      <t xml:space="preserve">Maps directly to SDTMIG Variable LBREFID
</t>
    </r>
    <r>
      <rPr>
        <b/>
        <sz val="11"/>
        <color theme="1"/>
        <rFont val="Aptos Narrow"/>
        <family val="2"/>
        <scheme val="minor"/>
      </rPr>
      <t xml:space="preserve">IF no value in 'Specimen.accessionIdentifier.value'
THEN use 'Specimen.identifier' WHERE the Identifier.type='ACSN'/'Accession' ID AND Identifer.use='official'/'Official' OR 'usual'/''Usual'
</t>
    </r>
    <r>
      <rPr>
        <sz val="11"/>
        <color theme="1"/>
        <rFont val="Aptos Narrow"/>
        <family val="2"/>
        <scheme val="minor"/>
      </rPr>
      <t xml:space="preserve">
</t>
    </r>
  </si>
  <si>
    <t xml:space="preserve"> </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</si>
  <si>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</si>
  <si>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</si>
  <si>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</si>
  <si>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</si>
  <si>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</si>
  <si>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</si>
  <si>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</si>
  <si>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r>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t>
    </r>
    <r>
      <rPr>
        <b/>
        <sz val="11"/>
        <color theme="1"/>
        <rFont val="Aptos Narrow"/>
        <family val="2"/>
        <scheme val="minor"/>
      </rPr>
      <t xml:space="preserve"> (e.g., CV domain for Cardiovascular System Findings, RP domain for Reproductive System Findings).</t>
    </r>
  </si>
  <si>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</si>
  <si>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r>
      <t xml:space="preserve">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
    </r>
    <r>
      <rPr>
        <b/>
        <sz val="11"/>
        <color theme="1"/>
        <rFont val="Aptos Narrow"/>
        <family val="2"/>
        <scheme val="minor"/>
      </rPr>
      <t xml:space="preserve">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t>
    </r>
    <r>
      <rPr>
        <sz val="11"/>
        <color theme="1"/>
        <rFont val="Aptos Narrow"/>
        <family val="2"/>
        <scheme val="minor"/>
      </rPr>
      <t xml:space="preserve">
See SDTMIG v3.4 for Findings Domain list.
https://www.cdisc.org/standards/foundational/sdtmig/sdtmig-v3-4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</si>
</sst>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68">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11" fillId="0" borderId="1" xfId="0" applyFont="1" applyBorder="1" applyAlignment="1">
      <alignment vertical="top" wrapText="1"/>
    </xf>
    <xf numFmtId="0" fontId="9" fillId="0" borderId="1" xfId="0" applyFont="1" applyBorder="1" applyAlignment="1">
      <alignment vertical="top" wrapText="1"/>
    </xf>
    <xf numFmtId="0" fontId="4" fillId="0" borderId="1" xfId="2" applyBorder="1" applyAlignment="1">
      <alignment vertical="top"/>
    </xf>
    <xf numFmtId="0" fontId="0" fillId="0" borderId="1" xfId="0" applyBorder="1" applyAlignment="1">
      <alignment wrapText="1"/>
    </xf>
    <xf numFmtId="0" fontId="0" fillId="2" borderId="1" xfId="0" applyFill="1" applyBorder="1" applyAlignment="1">
      <alignment horizontal="left" vertical="top" wrapText="1"/>
    </xf>
    <xf numFmtId="0" fontId="0" fillId="0" borderId="27" xfId="0" applyBorder="1" applyAlignment="1">
      <alignment vertical="top"/>
    </xf>
    <xf numFmtId="0" fontId="0" fillId="2" borderId="1" xfId="0" applyFill="1" applyBorder="1" applyAlignment="1">
      <alignment vertical="top"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0" t="s">
        <v>38</v>
      </c>
      <c r="B2" s="61"/>
    </row>
    <row r="3" spans="1:2" ht="42" customHeight="1" thickBot="1" x14ac:dyDescent="0.35">
      <c r="A3" s="38"/>
      <c r="B3" s="37" t="s">
        <v>37</v>
      </c>
    </row>
    <row r="4" spans="1:2" ht="28.5" customHeight="1" x14ac:dyDescent="0.3">
      <c r="A4" s="62" t="s">
        <v>36</v>
      </c>
      <c r="B4" s="63"/>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64" t="s">
        <v>21</v>
      </c>
      <c r="E19" s="65"/>
      <c r="F19" s="65"/>
      <c r="G19" s="65"/>
      <c r="H19" s="65"/>
      <c r="I19" s="65"/>
      <c r="J19" s="66"/>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DE46-E111-44A9-A7EC-56B066DEB2EA}">
  <dimension ref="A1:D19"/>
  <sheetViews>
    <sheetView workbookViewId="0">
      <selection activeCell="C4" sqref="C4"/>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67" t="s">
        <v>47</v>
      </c>
      <c r="B1" s="67"/>
      <c r="C1" s="40"/>
      <c r="D1" s="40"/>
    </row>
    <row r="2" spans="1:4" x14ac:dyDescent="0.3">
      <c r="A2" s="2" t="s">
        <v>67</v>
      </c>
      <c r="B2" s="2" t="s">
        <v>46</v>
      </c>
      <c r="C2" s="2" t="s">
        <v>45</v>
      </c>
      <c r="D2" s="2" t="s">
        <v>44</v>
      </c>
    </row>
    <row r="3" spans="1:4" x14ac:dyDescent="0.3">
      <c r="A3" s="48">
        <v>1</v>
      </c>
      <c r="B3" s="48" t="s">
        <v>43</v>
      </c>
      <c r="C3" s="48" t="s">
        <v>42</v>
      </c>
      <c r="D3" s="48"/>
    </row>
    <row r="4" spans="1:4" ht="345.6" x14ac:dyDescent="0.3">
      <c r="A4" s="48">
        <v>2</v>
      </c>
      <c r="B4" s="48" t="s">
        <v>41</v>
      </c>
      <c r="C4" s="49" t="s">
        <v>125</v>
      </c>
      <c r="D4" s="59" t="s">
        <v>126</v>
      </c>
    </row>
    <row r="5" spans="1:4" ht="57.6" x14ac:dyDescent="0.3">
      <c r="A5" s="48">
        <v>3</v>
      </c>
      <c r="B5" s="48" t="s">
        <v>55</v>
      </c>
      <c r="C5" s="53" t="s">
        <v>56</v>
      </c>
      <c r="D5" s="49" t="s">
        <v>66</v>
      </c>
    </row>
    <row r="6" spans="1:4" ht="72" x14ac:dyDescent="0.3">
      <c r="A6" s="48">
        <v>4</v>
      </c>
      <c r="B6" s="48" t="s">
        <v>65</v>
      </c>
      <c r="C6" s="53" t="s">
        <v>64</v>
      </c>
      <c r="D6" s="49" t="s">
        <v>63</v>
      </c>
    </row>
    <row r="7" spans="1:4" ht="172.8" x14ac:dyDescent="0.3">
      <c r="A7" s="48">
        <v>5</v>
      </c>
      <c r="B7" s="47" t="s">
        <v>40</v>
      </c>
      <c r="C7" s="47" t="s">
        <v>39</v>
      </c>
      <c r="D7" s="50" t="s">
        <v>62</v>
      </c>
    </row>
    <row r="8" spans="1:4" ht="144" x14ac:dyDescent="0.3">
      <c r="A8" s="48">
        <v>6</v>
      </c>
      <c r="B8" s="49" t="s">
        <v>52</v>
      </c>
      <c r="C8" s="49" t="s">
        <v>61</v>
      </c>
      <c r="D8" s="49" t="s">
        <v>60</v>
      </c>
    </row>
    <row r="9" spans="1:4" ht="43.2" x14ac:dyDescent="0.3">
      <c r="A9" s="48">
        <v>7</v>
      </c>
      <c r="B9" s="49" t="s">
        <v>51</v>
      </c>
      <c r="C9" s="49"/>
      <c r="D9" s="49" t="s">
        <v>59</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112</v>
      </c>
      <c r="D12" s="49" t="s">
        <v>68</v>
      </c>
    </row>
    <row r="13" spans="1:4" ht="86.4" x14ac:dyDescent="0.3">
      <c r="A13" s="48">
        <v>11</v>
      </c>
      <c r="B13" s="49" t="s">
        <v>69</v>
      </c>
      <c r="C13" s="49" t="s">
        <v>70</v>
      </c>
      <c r="D13" s="49" t="s">
        <v>71</v>
      </c>
    </row>
    <row r="14" spans="1:4" ht="144" x14ac:dyDescent="0.3">
      <c r="A14" s="48">
        <v>12</v>
      </c>
      <c r="B14" s="49" t="s">
        <v>72</v>
      </c>
      <c r="C14" s="49" t="s">
        <v>124</v>
      </c>
      <c r="D14" s="49" t="s">
        <v>73</v>
      </c>
    </row>
    <row r="15" spans="1:4" ht="187.2" x14ac:dyDescent="0.3">
      <c r="A15" s="48">
        <v>13</v>
      </c>
      <c r="B15" s="48" t="s">
        <v>78</v>
      </c>
      <c r="C15" s="49" t="s">
        <v>111</v>
      </c>
      <c r="D15" s="56" t="s">
        <v>77</v>
      </c>
    </row>
    <row r="16" spans="1:4" ht="399.75" customHeight="1" x14ac:dyDescent="0.3">
      <c r="A16" s="48">
        <v>14</v>
      </c>
      <c r="B16" s="52" t="s">
        <v>76</v>
      </c>
      <c r="C16" s="57" t="s">
        <v>123</v>
      </c>
      <c r="D16" s="59" t="s">
        <v>122</v>
      </c>
    </row>
    <row r="17" spans="1:4" ht="382.5" customHeight="1" x14ac:dyDescent="0.3">
      <c r="A17" s="48">
        <v>14</v>
      </c>
      <c r="B17" s="52" t="s">
        <v>75</v>
      </c>
      <c r="C17" s="52" t="s">
        <v>121</v>
      </c>
      <c r="D17" s="59" t="s">
        <v>120</v>
      </c>
    </row>
    <row r="18" spans="1:4" ht="331.2" x14ac:dyDescent="0.3">
      <c r="A18" s="58">
        <v>14</v>
      </c>
      <c r="B18" s="52" t="s">
        <v>119</v>
      </c>
      <c r="C18" s="52" t="s">
        <v>118</v>
      </c>
      <c r="D18" s="59" t="s">
        <v>117</v>
      </c>
    </row>
    <row r="19" spans="1:4" x14ac:dyDescent="0.3">
      <c r="A19" s="58" t="s">
        <v>116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74"/>
  <sheetViews>
    <sheetView topLeftCell="C1" zoomScaleNormal="100" workbookViewId="0">
      <pane ySplit="1" topLeftCell="A2" activePane="bottomLeft" state="frozen"/>
      <selection activeCell="D1" sqref="D1"/>
      <selection pane="bottomLeft" activeCell="H4" sqref="H4"/>
    </sheetView>
  </sheetViews>
  <sheetFormatPr defaultRowHeight="14.4" x14ac:dyDescent="0.3"/>
  <cols>
    <col min="1" max="1" width="8.88671875" style="45"/>
    <col min="2" max="2" width="8.88671875" style="39"/>
    <col min="3" max="3" width="36.5546875" bestFit="1" customWidth="1"/>
    <col min="4" max="4" width="52" style="1" customWidth="1"/>
    <col min="5" max="5" width="71.88671875" customWidth="1"/>
    <col min="6" max="6" width="13.6640625" bestFit="1" customWidth="1"/>
    <col min="7" max="7" width="16" bestFit="1" customWidth="1"/>
    <col min="8" max="8" width="40.664062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72" x14ac:dyDescent="0.3">
      <c r="A2" s="54">
        <v>1</v>
      </c>
      <c r="B2" s="54">
        <v>1</v>
      </c>
      <c r="C2" s="47" t="s">
        <v>84</v>
      </c>
      <c r="D2" s="46" t="s">
        <v>85</v>
      </c>
      <c r="E2" s="46" t="s">
        <v>88</v>
      </c>
      <c r="F2" s="48" t="s">
        <v>79</v>
      </c>
      <c r="G2" s="48" t="s">
        <v>79</v>
      </c>
      <c r="H2" s="49" t="s">
        <v>91</v>
      </c>
      <c r="I2" s="3"/>
      <c r="J2" s="3"/>
      <c r="K2" s="3">
        <f>LEN(L2)</f>
        <v>22</v>
      </c>
      <c r="L2" s="6" t="s">
        <v>94</v>
      </c>
      <c r="M2" s="3"/>
      <c r="N2" s="3"/>
      <c r="O2" s="3"/>
      <c r="P2" s="3"/>
      <c r="Q2" s="3"/>
      <c r="R2" s="3"/>
    </row>
    <row r="3" spans="1:36" s="44" customFormat="1" ht="144" x14ac:dyDescent="0.3">
      <c r="A3" s="54">
        <v>2</v>
      </c>
      <c r="B3" s="54">
        <v>1</v>
      </c>
      <c r="C3" s="47" t="s">
        <v>84</v>
      </c>
      <c r="D3" s="46" t="s">
        <v>113</v>
      </c>
      <c r="E3" s="46" t="s">
        <v>89</v>
      </c>
      <c r="F3" s="48" t="s">
        <v>74</v>
      </c>
      <c r="G3" s="48" t="s">
        <v>90</v>
      </c>
      <c r="H3" s="57" t="s">
        <v>115</v>
      </c>
      <c r="I3" s="3"/>
      <c r="J3" s="3"/>
      <c r="K3" s="3">
        <f>LEN(L3)</f>
        <v>38</v>
      </c>
      <c r="L3" s="6" t="s">
        <v>95</v>
      </c>
      <c r="M3" s="3"/>
      <c r="N3" s="3"/>
      <c r="O3" s="3"/>
      <c r="P3" s="3"/>
      <c r="Q3" s="3"/>
      <c r="R3" s="3"/>
    </row>
    <row r="4" spans="1:36" s="44" customFormat="1" ht="409.6" x14ac:dyDescent="0.3">
      <c r="A4" s="54">
        <v>3</v>
      </c>
      <c r="B4" s="54">
        <v>2</v>
      </c>
      <c r="C4" s="47" t="s">
        <v>84</v>
      </c>
      <c r="D4" s="46" t="s">
        <v>96</v>
      </c>
      <c r="E4" s="46" t="s">
        <v>92</v>
      </c>
      <c r="F4" s="48" t="s">
        <v>74</v>
      </c>
      <c r="G4" s="48" t="s">
        <v>93</v>
      </c>
      <c r="H4" s="51" t="s">
        <v>98</v>
      </c>
      <c r="I4" s="3"/>
      <c r="J4" s="3"/>
      <c r="K4" s="3"/>
      <c r="L4" s="3"/>
      <c r="M4" s="3"/>
      <c r="N4" s="3"/>
      <c r="O4" s="3"/>
      <c r="P4" s="3"/>
      <c r="Q4" s="3"/>
      <c r="R4" s="3"/>
    </row>
    <row r="5" spans="1:36" s="44" customFormat="1" ht="115.2" x14ac:dyDescent="0.3">
      <c r="A5" s="54">
        <v>4</v>
      </c>
      <c r="B5" s="54">
        <v>3</v>
      </c>
      <c r="C5" s="47" t="s">
        <v>84</v>
      </c>
      <c r="D5" s="46" t="s">
        <v>97</v>
      </c>
      <c r="E5" s="46" t="s">
        <v>100</v>
      </c>
      <c r="F5" s="48" t="s">
        <v>74</v>
      </c>
      <c r="G5" s="48" t="s">
        <v>83</v>
      </c>
      <c r="H5" s="49" t="s">
        <v>101</v>
      </c>
      <c r="I5" s="3"/>
      <c r="J5" s="3"/>
      <c r="K5" s="3"/>
      <c r="L5" s="3"/>
      <c r="M5" s="3"/>
      <c r="N5" s="3"/>
      <c r="O5" s="3"/>
      <c r="P5" s="3"/>
      <c r="Q5" s="3"/>
      <c r="R5" s="3"/>
    </row>
    <row r="6" spans="1:36" s="44" customFormat="1" ht="345.6" x14ac:dyDescent="0.3">
      <c r="A6" s="54">
        <v>5</v>
      </c>
      <c r="B6" s="54">
        <v>4</v>
      </c>
      <c r="C6" s="47" t="s">
        <v>84</v>
      </c>
      <c r="D6" s="52" t="s">
        <v>86</v>
      </c>
      <c r="E6" s="49" t="s">
        <v>81</v>
      </c>
      <c r="F6" s="47" t="s">
        <v>0</v>
      </c>
      <c r="G6" s="47" t="s">
        <v>80</v>
      </c>
      <c r="H6" s="52" t="s">
        <v>82</v>
      </c>
      <c r="I6" s="3"/>
      <c r="J6" s="3"/>
      <c r="K6" s="3"/>
      <c r="L6" s="3"/>
      <c r="M6" s="3"/>
      <c r="N6" s="3"/>
      <c r="O6" s="3"/>
      <c r="P6" s="3"/>
      <c r="Q6" s="3"/>
      <c r="R6" s="3"/>
    </row>
    <row r="7" spans="1:36" s="44" customFormat="1" ht="86.4" x14ac:dyDescent="0.3">
      <c r="A7" s="54">
        <v>6</v>
      </c>
      <c r="B7" s="54">
        <v>5</v>
      </c>
      <c r="C7" s="47" t="s">
        <v>84</v>
      </c>
      <c r="D7" s="52" t="s">
        <v>102</v>
      </c>
      <c r="E7" s="49" t="s">
        <v>104</v>
      </c>
      <c r="F7" s="47" t="s">
        <v>74</v>
      </c>
      <c r="G7" s="47" t="s">
        <v>108</v>
      </c>
      <c r="H7" s="52" t="s">
        <v>109</v>
      </c>
      <c r="I7" s="3"/>
      <c r="J7" s="3"/>
      <c r="K7" s="3"/>
      <c r="L7" s="3"/>
      <c r="M7" s="3"/>
      <c r="N7" s="3"/>
      <c r="O7" s="3"/>
      <c r="P7" s="3"/>
      <c r="Q7" s="3"/>
      <c r="R7" s="3"/>
    </row>
    <row r="8" spans="1:36" s="44" customFormat="1" ht="115.2" x14ac:dyDescent="0.3">
      <c r="A8" s="54">
        <v>7</v>
      </c>
      <c r="B8" s="54">
        <v>6</v>
      </c>
      <c r="C8" s="47" t="s">
        <v>84</v>
      </c>
      <c r="D8" s="52" t="s">
        <v>105</v>
      </c>
      <c r="E8" s="49" t="s">
        <v>103</v>
      </c>
      <c r="F8" s="47" t="s">
        <v>74</v>
      </c>
      <c r="G8" s="47" t="s">
        <v>106</v>
      </c>
      <c r="H8" s="52" t="s">
        <v>107</v>
      </c>
      <c r="I8" s="3"/>
      <c r="J8" s="3"/>
      <c r="K8" s="3"/>
      <c r="L8" s="3"/>
      <c r="M8" s="3"/>
      <c r="N8" s="3"/>
      <c r="O8" s="3"/>
      <c r="P8" s="3"/>
      <c r="Q8" s="3"/>
      <c r="R8" s="3"/>
    </row>
    <row r="9" spans="1:36" s="44" customFormat="1" ht="273.60000000000002" x14ac:dyDescent="0.3">
      <c r="A9" s="55">
        <v>8</v>
      </c>
      <c r="B9" s="55">
        <v>7</v>
      </c>
      <c r="C9" s="47" t="s">
        <v>84</v>
      </c>
      <c r="D9" s="46" t="s">
        <v>110</v>
      </c>
      <c r="E9" s="46" t="s">
        <v>87</v>
      </c>
      <c r="F9" s="48" t="s">
        <v>74</v>
      </c>
      <c r="G9" s="48" t="s">
        <v>99</v>
      </c>
      <c r="H9" s="52" t="s">
        <v>114</v>
      </c>
      <c r="I9" s="3"/>
      <c r="J9" s="3"/>
      <c r="K9" s="3"/>
      <c r="L9" s="3"/>
      <c r="M9" s="3"/>
      <c r="N9" s="3"/>
      <c r="O9" s="3"/>
      <c r="P9" s="3"/>
      <c r="Q9" s="3"/>
      <c r="R9" s="3"/>
    </row>
    <row r="10" spans="1:36" x14ac:dyDescent="0.3">
      <c r="A10"/>
      <c r="B10"/>
      <c r="D10"/>
      <c r="H10"/>
    </row>
    <row r="11" spans="1:36" x14ac:dyDescent="0.3">
      <c r="A11"/>
      <c r="B11"/>
      <c r="D11"/>
      <c r="H11"/>
    </row>
    <row r="12" spans="1:36" x14ac:dyDescent="0.3">
      <c r="A12"/>
      <c r="B12"/>
      <c r="D12"/>
      <c r="H12"/>
    </row>
    <row r="13" spans="1:36" x14ac:dyDescent="0.3">
      <c r="A13"/>
      <c r="B13"/>
      <c r="D13"/>
      <c r="H13"/>
    </row>
    <row r="14" spans="1:36" x14ac:dyDescent="0.3">
      <c r="A14"/>
      <c r="B14"/>
      <c r="D14"/>
      <c r="H14"/>
    </row>
    <row r="15" spans="1:36" x14ac:dyDescent="0.3">
      <c r="A15"/>
      <c r="B15"/>
      <c r="D15"/>
      <c r="H15"/>
    </row>
    <row r="16" spans="1:36" x14ac:dyDescent="0.3">
      <c r="A16"/>
      <c r="B16"/>
      <c r="D16"/>
      <c r="H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2A345A-7C63-4D67-9AF4-0F7E51CD64B3}"/>
</file>

<file path=customXml/itemProps2.xml><?xml version="1.0" encoding="utf-8"?>
<ds:datastoreItem xmlns:ds="http://schemas.openxmlformats.org/officeDocument/2006/customXml" ds:itemID="{D4EE901B-E70E-4A62-AADE-C7E237455370}"/>
</file>

<file path=customXml/itemProps3.xml><?xml version="1.0" encoding="utf-8"?>
<ds:datastoreItem xmlns:ds="http://schemas.openxmlformats.org/officeDocument/2006/customXml" ds:itemID="{DF0A2943-D47A-4ACC-8B4B-7038F014C7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Specimen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2026-06-02T19:03:06Z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